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00" activeTab="3"/>
  </bookViews>
  <sheets>
    <sheet name="Missing_Value" sheetId="1" r:id="rId1"/>
    <sheet name="Duplicate_Summary" sheetId="2" r:id="rId2"/>
    <sheet name="Invalid_Discount_Summary" sheetId="3" r:id="rId3"/>
    <sheet name="Date Issue Summary" sheetId="8" r:id="rId4"/>
    <sheet name="Order_Status_Issue_Summary" sheetId="4" r:id="rId5"/>
    <sheet name="Sales_Profit_Mismatch_Summary" sheetId="5" r:id="rId6"/>
    <sheet name="Final_Clean_vs_Flagged"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<sst xmlns="http://schemas.openxmlformats.org/spreadsheetml/2006/main" count="102" uniqueCount="84">
  <si>
    <t>MISSING VALUE SUMMARY</t>
  </si>
  <si>
    <t>Field Name</t>
  </si>
  <si>
    <t xml:space="preserve">Missing Count </t>
  </si>
  <si>
    <t>Action Done</t>
  </si>
  <si>
    <t>Region</t>
  </si>
  <si>
    <t>Replaced with Unknown</t>
  </si>
  <si>
    <t>Ship Mode</t>
  </si>
  <si>
    <t>Discount</t>
  </si>
  <si>
    <t>Replaced with 0 where other sales were valid</t>
  </si>
  <si>
    <t>Total Missing Values Handled</t>
  </si>
  <si>
    <t>Handled as per business rules</t>
  </si>
  <si>
    <t>DUPLICATE SUMMARY</t>
  </si>
  <si>
    <t>Metric</t>
  </si>
  <si>
    <t>Count</t>
  </si>
  <si>
    <t>Duplicate Handling Logic</t>
  </si>
  <si>
    <t>Exact Duplicate Rows Found</t>
  </si>
  <si>
    <t>Exact duplicate rows were identified by comparing all columns. These records contained identical values across every field.</t>
  </si>
  <si>
    <t>Duplicate Order IDs Found</t>
  </si>
  <si>
    <r>
      <t xml:space="preserve">Duplicate </t>
    </r>
    <r>
      <rPr>
        <sz val="10"/>
        <rFont val="Arial Unicode MS"/>
        <charset val="134"/>
      </rPr>
      <t>order_id</t>
    </r>
    <r>
      <rPr>
        <sz val="11"/>
        <rFont val="Calibri"/>
        <charset val="134"/>
        <scheme val="minor"/>
      </rPr>
      <t xml:space="preserve"> values were identified using </t>
    </r>
    <r>
      <rPr>
        <sz val="10"/>
        <rFont val="Arial Unicode MS"/>
        <charset val="134"/>
      </rPr>
      <t>COUNTIF()</t>
    </r>
    <r>
      <rPr>
        <sz val="11"/>
        <rFont val="Calibri"/>
        <charset val="134"/>
        <scheme val="minor"/>
      </rPr>
      <t>. Each duplicate order ID was reviewed for consistency across other fields.</t>
    </r>
  </si>
  <si>
    <t>Records Removed</t>
  </si>
  <si>
    <t>No records were deleted to preserve data integrity and maintain an audit trail.</t>
  </si>
  <si>
    <t>Records Flagged for Review</t>
  </si>
  <si>
    <r>
      <t xml:space="preserve">Records with the same </t>
    </r>
    <r>
      <rPr>
        <sz val="10"/>
        <rFont val="Arial Unicode MS"/>
        <charset val="134"/>
      </rPr>
      <t>order_id</t>
    </r>
    <r>
      <rPr>
        <sz val="11"/>
        <rFont val="Calibri"/>
        <charset val="134"/>
        <scheme val="minor"/>
      </rPr>
      <t xml:space="preserve"> but conflicting values (such as sales, quantity, customer, or status) were retained and flagged for manual review.</t>
    </r>
  </si>
  <si>
    <t>Exact duplicate rows were identified using row-level comparison across all columns.</t>
  </si>
  <si>
    <t>24 Duplicate order IDs were identified using COUNTIF analysis.</t>
  </si>
  <si>
    <t>No records were automatically removed from the cleaned dataset.</t>
  </si>
  <si>
    <t>Duplicate order IDs were flagged for manual review and were not automatically removed.</t>
  </si>
  <si>
    <t>INVALID DISCOUNT SUMMARY</t>
  </si>
  <si>
    <t>Discount Status</t>
  </si>
  <si>
    <t>Action Taken</t>
  </si>
  <si>
    <t>Negative Discount</t>
  </si>
  <si>
    <t>Flagged as Invalid</t>
  </si>
  <si>
    <t>Discount Above Allowed Range (&gt;100%)</t>
  </si>
  <si>
    <t>No Action Required</t>
  </si>
  <si>
    <t>Total Invalid Discount Records</t>
  </si>
  <si>
    <t>Excluded from valid calculations</t>
  </si>
  <si>
    <t>Summary</t>
  </si>
  <si>
    <t>Negative discount values violate business rules and were flagged as invalid. Records with invalid discounts were flagged and excluded from calculated sales and profit calculations.</t>
  </si>
  <si>
    <t>Date Issue Summary</t>
  </si>
  <si>
    <t>Missing Order Date</t>
  </si>
  <si>
    <t>Missing Ship Date</t>
  </si>
  <si>
    <t>Invalid Order Date</t>
  </si>
  <si>
    <t>Invalid Ship Date</t>
  </si>
  <si>
    <t>Ship Before Order</t>
  </si>
  <si>
    <t>ORDER STATUS ISSUE SUMMARY</t>
  </si>
  <si>
    <t>Status Type</t>
  </si>
  <si>
    <t>Business Action</t>
  </si>
  <si>
    <t>Completed</t>
  </si>
  <si>
    <t>Include</t>
  </si>
  <si>
    <t>Cancelled Orders</t>
  </si>
  <si>
    <t>Excluded from completed sales summary</t>
  </si>
  <si>
    <t>Returned Orders</t>
  </si>
  <si>
    <t>Separately tracked for review</t>
  </si>
  <si>
    <t>Failed Payments</t>
  </si>
  <si>
    <t>Pending Payments</t>
  </si>
  <si>
    <t>Refunded Payments</t>
  </si>
  <si>
    <t>Separately summarized</t>
  </si>
  <si>
    <t>Cancelled orders and failed payments were excluded from completed sales reporting. Returned and refunded transactions were retained and separately tracked to support business review and operational analysis.</t>
  </si>
  <si>
    <t>SALES &amp; PROFIT CALCULATION MISMATCH SUMMARY</t>
  </si>
  <si>
    <t>Sales Calculation Mismatch Records</t>
  </si>
  <si>
    <t>Flagged for review</t>
  </si>
  <si>
    <t>Profit Calculation Mismatch Records</t>
  </si>
  <si>
    <t>Invalid Sales Calculation Records</t>
  </si>
  <si>
    <t>Excluded from comparison</t>
  </si>
  <si>
    <t>Invalid Profit Calculation Records</t>
  </si>
  <si>
    <t>Total Records Requiring Review</t>
  </si>
  <si>
    <t>Reviewed and documented</t>
  </si>
  <si>
    <t>Calculated sales and profit values were compared against the original dataset values. Records with mismatched calculations were flagged for review. Records containing invalid discounts ,Cancelled orderd, and failled payments were excluded from calculation validation because they violated business rules.</t>
  </si>
  <si>
    <t>FINAL CLEAN VS FLAGGED RECORD COUNT</t>
  </si>
  <si>
    <r>
      <rPr>
        <sz val="11"/>
        <rFont val="Calibri"/>
        <charset val="134"/>
        <scheme val="minor"/>
      </rPr>
      <t>Record</t>
    </r>
    <r>
      <rPr>
        <b/>
        <sz val="11"/>
        <rFont val="Calibri"/>
        <charset val="134"/>
        <scheme val="minor"/>
      </rPr>
      <t xml:space="preserve"> </t>
    </r>
    <r>
      <rPr>
        <sz val="11"/>
        <rFont val="Calibri"/>
        <charset val="134"/>
        <scheme val="minor"/>
      </rPr>
      <t>Category</t>
    </r>
  </si>
  <si>
    <t>Interpretation</t>
  </si>
  <si>
    <t>Clean Records</t>
  </si>
  <si>
    <t>Ready for analysis</t>
  </si>
  <si>
    <t>Warning Records</t>
  </si>
  <si>
    <t>Usable after business review</t>
  </si>
  <si>
    <t>Invalid Records</t>
  </si>
  <si>
    <t>Business rule violations detected</t>
  </si>
  <si>
    <t>Total Records</t>
  </si>
  <si>
    <t>Final cleaned dataset size</t>
  </si>
  <si>
    <t>Percentage Table</t>
  </si>
  <si>
    <t>Record Category</t>
  </si>
  <si>
    <t>Percentage</t>
  </si>
  <si>
    <t>Invaild Records</t>
  </si>
  <si>
    <t>Records were classified into Clean, Warning, and Invalid categories based on business rules and data quality validations. A significant number of records were flagged as Invalid due to invalid shipping records and discount-related issues. Clean records are analysis-ready, while warning and invalid records require further review before business reporting.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</si>
</sst>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6">
    <font>
      <sz val="11"/>
      <color theme="1"/>
      <name val="Calibri"/>
      <charset val="134"/>
      <scheme val="minor"/>
    </font>
    <font>
      <b/>
      <sz val="11"/>
      <name val="Calibri"/>
      <charset val="134"/>
      <scheme val="minor"/>
    </font>
    <font>
      <sz val="11"/>
      <name val="Calibri"/>
      <charset val="134"/>
      <scheme val="minor"/>
    </font>
    <font>
      <b/>
      <sz val="11"/>
      <color theme="1"/>
      <name val="Calibri"/>
      <charset val="134"/>
      <scheme val="minor"/>
    </font>
    <font>
      <sz val="10"/>
      <color theme="1"/>
      <name val="Calibri"/>
      <charset val="134"/>
      <scheme val="minor"/>
    </font>
    <font>
      <b/>
      <sz val="13"/>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Unicode MS"/>
      <charset val="134"/>
    </font>
  </fonts>
  <fills count="36">
    <fill>
      <patternFill patternType="none"/>
    </fill>
    <fill>
      <patternFill patternType="gray125"/>
    </fill>
    <fill>
      <patternFill patternType="solid">
        <fgColor rgb="FF92D050"/>
        <bgColor indexed="64"/>
      </patternFill>
    </fill>
    <fill>
      <patternFill patternType="solid">
        <fgColor theme="7" tint="0.6"/>
        <bgColor indexed="64"/>
      </patternFill>
    </fill>
    <fill>
      <patternFill patternType="solid">
        <fgColor theme="5"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3">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style="thin">
        <color auto="1"/>
      </bottom>
      <diagonal/>
    </border>
    <border>
      <left style="medium">
        <color auto="1"/>
      </left>
      <right style="medium">
        <color auto="1"/>
      </right>
      <top/>
      <bottom style="thin">
        <color auto="1"/>
      </bottom>
      <diagonal/>
    </border>
    <border>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thin">
        <color auto="1"/>
      </bottom>
      <diagonal/>
    </border>
    <border>
      <left style="medium">
        <color auto="1"/>
      </left>
      <right style="medium">
        <color auto="1"/>
      </right>
      <top style="medium">
        <color auto="1"/>
      </top>
      <bottom/>
      <diagonal/>
    </border>
    <border>
      <left/>
      <right style="medium">
        <color auto="1"/>
      </right>
      <top style="medium">
        <color auto="1"/>
      </top>
      <bottom style="thin">
        <color auto="1"/>
      </bottom>
      <diagonal/>
    </border>
    <border>
      <left style="medium">
        <color auto="1"/>
      </left>
      <right style="medium">
        <color auto="1"/>
      </right>
      <top/>
      <bottom/>
      <diagonal/>
    </border>
    <border>
      <left style="medium">
        <color auto="1"/>
      </left>
      <right/>
      <top style="thin">
        <color auto="1"/>
      </top>
      <bottom/>
      <diagonal/>
    </border>
    <border>
      <left/>
      <right style="medium">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5" borderId="45"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6" applyNumberFormat="0" applyFill="0" applyAlignment="0" applyProtection="0">
      <alignment vertical="center"/>
    </xf>
    <xf numFmtId="0" fontId="12" fillId="0" borderId="46" applyNumberFormat="0" applyFill="0" applyAlignment="0" applyProtection="0">
      <alignment vertical="center"/>
    </xf>
    <xf numFmtId="0" fontId="13" fillId="0" borderId="47" applyNumberFormat="0" applyFill="0" applyAlignment="0" applyProtection="0">
      <alignment vertical="center"/>
    </xf>
    <xf numFmtId="0" fontId="13" fillId="0" borderId="0" applyNumberFormat="0" applyFill="0" applyBorder="0" applyAlignment="0" applyProtection="0">
      <alignment vertical="center"/>
    </xf>
    <xf numFmtId="0" fontId="14" fillId="6" borderId="48" applyNumberFormat="0" applyAlignment="0" applyProtection="0">
      <alignment vertical="center"/>
    </xf>
    <xf numFmtId="0" fontId="15" fillId="7" borderId="49" applyNumberFormat="0" applyAlignment="0" applyProtection="0">
      <alignment vertical="center"/>
    </xf>
    <xf numFmtId="0" fontId="16" fillId="7" borderId="48" applyNumberFormat="0" applyAlignment="0" applyProtection="0">
      <alignment vertical="center"/>
    </xf>
    <xf numFmtId="0" fontId="17" fillId="8" borderId="50" applyNumberFormat="0" applyAlignment="0" applyProtection="0">
      <alignment vertical="center"/>
    </xf>
    <xf numFmtId="0" fontId="18" fillId="0" borderId="51" applyNumberFormat="0" applyFill="0" applyAlignment="0" applyProtection="0">
      <alignment vertical="center"/>
    </xf>
    <xf numFmtId="0" fontId="19" fillId="0" borderId="52" applyNumberFormat="0" applyFill="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4" fillId="33" borderId="0" applyNumberFormat="0" applyBorder="0" applyAlignment="0" applyProtection="0">
      <alignment vertical="center"/>
    </xf>
    <xf numFmtId="0" fontId="24" fillId="34" borderId="0" applyNumberFormat="0" applyBorder="0" applyAlignment="0" applyProtection="0">
      <alignment vertical="center"/>
    </xf>
    <xf numFmtId="0" fontId="23" fillId="35" borderId="0" applyNumberFormat="0" applyBorder="0" applyAlignment="0" applyProtection="0">
      <alignment vertical="center"/>
    </xf>
  </cellStyleXfs>
  <cellXfs count="111">
    <xf numFmtId="0" fontId="0" fillId="0" borderId="0" xfId="0"/>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2" fillId="2" borderId="1" xfId="0" applyFont="1" applyFill="1" applyBorder="1" applyAlignment="1">
      <alignment horizontal="center" vertical="center"/>
    </xf>
    <xf numFmtId="0" fontId="2" fillId="2" borderId="4" xfId="0" applyFont="1" applyFill="1" applyBorder="1" applyAlignment="1">
      <alignment horizontal="center"/>
    </xf>
    <xf numFmtId="0" fontId="2" fillId="2" borderId="3" xfId="0" applyFont="1" applyFill="1"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3" fillId="2" borderId="14" xfId="0" applyFont="1" applyFill="1" applyBorder="1" applyAlignment="1">
      <alignment horizontal="center"/>
    </xf>
    <xf numFmtId="0" fontId="3" fillId="2" borderId="15" xfId="0" applyFont="1" applyFill="1" applyBorder="1" applyAlignment="1">
      <alignment horizontal="center"/>
    </xf>
    <xf numFmtId="0" fontId="2" fillId="3" borderId="1" xfId="0" applyFont="1" applyFill="1" applyBorder="1" applyAlignment="1">
      <alignment horizontal="center"/>
    </xf>
    <xf numFmtId="0" fontId="2" fillId="3" borderId="4" xfId="0" applyFont="1" applyFill="1" applyBorder="1" applyAlignment="1">
      <alignment horizontal="center"/>
    </xf>
    <xf numFmtId="10" fontId="0" fillId="0" borderId="6" xfId="0" applyNumberFormat="1" applyBorder="1" applyAlignment="1">
      <alignment horizontal="center"/>
    </xf>
    <xf numFmtId="10" fontId="0" fillId="0" borderId="9" xfId="0" applyNumberFormat="1" applyBorder="1" applyAlignment="1">
      <alignment horizontal="center"/>
    </xf>
    <xf numFmtId="10" fontId="0" fillId="0" borderId="12" xfId="0" applyNumberFormat="1" applyBorder="1" applyAlignment="1">
      <alignment horizontal="center"/>
    </xf>
    <xf numFmtId="0" fontId="1" fillId="2" borderId="14" xfId="0" applyFont="1" applyFill="1" applyBorder="1" applyAlignment="1">
      <alignment horizontal="center"/>
    </xf>
    <xf numFmtId="0" fontId="2" fillId="2" borderId="16" xfId="0" applyFont="1" applyFill="1" applyBorder="1" applyAlignment="1">
      <alignment horizontal="center"/>
    </xf>
    <xf numFmtId="0" fontId="2" fillId="2" borderId="15" xfId="0" applyFont="1" applyFill="1" applyBorder="1" applyAlignment="1">
      <alignment horizontal="center"/>
    </xf>
    <xf numFmtId="0" fontId="4" fillId="0" borderId="17" xfId="0" applyFont="1" applyBorder="1" applyAlignment="1">
      <alignment horizontal="center" wrapText="1"/>
    </xf>
    <xf numFmtId="0" fontId="4" fillId="0" borderId="18" xfId="0" applyFont="1" applyBorder="1" applyAlignment="1">
      <alignment horizontal="center" wrapText="1"/>
    </xf>
    <xf numFmtId="0" fontId="4" fillId="0" borderId="19" xfId="0" applyFont="1" applyBorder="1" applyAlignment="1">
      <alignment horizontal="center" wrapText="1"/>
    </xf>
    <xf numFmtId="0" fontId="4" fillId="0" borderId="20" xfId="0" applyFont="1" applyBorder="1" applyAlignment="1">
      <alignment horizontal="center" wrapText="1"/>
    </xf>
    <xf numFmtId="0" fontId="4" fillId="0" borderId="21" xfId="0" applyFont="1" applyBorder="1" applyAlignment="1">
      <alignment horizontal="center" wrapText="1"/>
    </xf>
    <xf numFmtId="0" fontId="4" fillId="0" borderId="22" xfId="0" applyFont="1" applyBorder="1" applyAlignment="1">
      <alignment horizontal="center" wrapText="1"/>
    </xf>
    <xf numFmtId="0" fontId="4" fillId="0" borderId="23" xfId="0" applyFont="1" applyBorder="1" applyAlignment="1">
      <alignment horizontal="center" wrapText="1"/>
    </xf>
    <xf numFmtId="0" fontId="4" fillId="0" borderId="24" xfId="0" applyFont="1" applyBorder="1" applyAlignment="1">
      <alignment horizontal="center" wrapText="1"/>
    </xf>
    <xf numFmtId="0" fontId="4" fillId="0" borderId="25" xfId="0" applyFont="1" applyBorder="1" applyAlignment="1">
      <alignment horizont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1" fillId="2" borderId="28" xfId="0" applyFont="1" applyFill="1" applyBorder="1" applyAlignment="1">
      <alignment horizontal="center" vertical="center" wrapText="1"/>
    </xf>
    <xf numFmtId="0" fontId="1" fillId="2" borderId="29"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 fillId="2" borderId="31" xfId="0" applyFont="1" applyFill="1" applyBorder="1" applyAlignment="1">
      <alignment horizontal="center" vertical="center" wrapText="1"/>
    </xf>
    <xf numFmtId="0" fontId="2" fillId="2" borderId="1" xfId="0" applyFont="1" applyFill="1"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21" xfId="0" applyBorder="1" applyAlignment="1">
      <alignment horizontal="center"/>
    </xf>
    <xf numFmtId="0" fontId="0" fillId="0" borderId="35" xfId="0" applyBorder="1" applyAlignment="1">
      <alignment horizontal="center"/>
    </xf>
    <xf numFmtId="0" fontId="0" fillId="0" borderId="36" xfId="0" applyBorder="1" applyAlignment="1">
      <alignment horizontal="center"/>
    </xf>
    <xf numFmtId="0" fontId="0" fillId="0" borderId="37" xfId="0" applyBorder="1" applyAlignment="1">
      <alignment horizontal="center"/>
    </xf>
    <xf numFmtId="0" fontId="3" fillId="4" borderId="1" xfId="0" applyFont="1" applyFill="1" applyBorder="1" applyAlignment="1">
      <alignment horizontal="center"/>
    </xf>
    <xf numFmtId="0" fontId="3" fillId="4" borderId="4" xfId="0" applyFont="1" applyFill="1" applyBorder="1" applyAlignment="1">
      <alignment horizontal="center"/>
    </xf>
    <xf numFmtId="0" fontId="3" fillId="4" borderId="3" xfId="0" applyFont="1" applyFill="1" applyBorder="1" applyAlignment="1">
      <alignment horizontal="center"/>
    </xf>
    <xf numFmtId="0" fontId="1" fillId="2" borderId="16" xfId="0" applyFont="1" applyFill="1" applyBorder="1" applyAlignment="1">
      <alignment horizontal="center"/>
    </xf>
    <xf numFmtId="0" fontId="1" fillId="2" borderId="15" xfId="0" applyFont="1" applyFill="1" applyBorder="1" applyAlignment="1">
      <alignment horizontal="center"/>
    </xf>
    <xf numFmtId="0" fontId="0" fillId="0" borderId="38" xfId="0" applyBorder="1" applyAlignment="1">
      <alignment horizontal="center" vertical="center" wrapText="1"/>
    </xf>
    <xf numFmtId="0" fontId="0" fillId="0" borderId="39" xfId="0" applyBorder="1" applyAlignment="1">
      <alignment horizontal="center" vertical="center" wrapText="1"/>
    </xf>
    <xf numFmtId="0" fontId="0" fillId="0" borderId="40" xfId="0"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3"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26" xfId="0" applyBorder="1"/>
    <xf numFmtId="0" fontId="0" fillId="0" borderId="27" xfId="0" applyBorder="1"/>
    <xf numFmtId="0" fontId="0" fillId="0" borderId="28" xfId="0" applyBorder="1"/>
    <xf numFmtId="0" fontId="0" fillId="0" borderId="5" xfId="0" applyBorder="1" applyAlignment="1">
      <alignment horizontal="center" vertical="center"/>
    </xf>
    <xf numFmtId="0" fontId="0" fillId="0" borderId="29"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0" borderId="0" xfId="0" applyAlignment="1"/>
    <xf numFmtId="0" fontId="3" fillId="3" borderId="29" xfId="0" applyFont="1" applyFill="1" applyBorder="1" applyAlignment="1">
      <alignment horizontal="center" vertical="center"/>
    </xf>
    <xf numFmtId="0" fontId="3" fillId="3" borderId="41" xfId="0" applyFont="1" applyFill="1" applyBorder="1" applyAlignment="1">
      <alignment horizontal="center" vertical="center"/>
    </xf>
    <xf numFmtId="0" fontId="0" fillId="0" borderId="6"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xf>
    <xf numFmtId="0" fontId="0" fillId="4" borderId="11" xfId="0" applyFill="1" applyBorder="1" applyAlignment="1">
      <alignment horizontal="center"/>
    </xf>
    <xf numFmtId="0" fontId="0" fillId="4" borderId="12" xfId="0" applyFill="1" applyBorder="1" applyAlignment="1">
      <alignment horizontal="center"/>
    </xf>
    <xf numFmtId="0" fontId="0" fillId="4" borderId="13" xfId="0" applyFill="1" applyBorder="1" applyAlignment="1">
      <alignment horizontal="center"/>
    </xf>
    <xf numFmtId="0" fontId="0" fillId="0" borderId="38" xfId="0" applyBorder="1" applyAlignment="1">
      <alignment horizontal="center" wrapText="1"/>
    </xf>
    <xf numFmtId="0" fontId="0" fillId="0" borderId="39" xfId="0" applyBorder="1" applyAlignment="1">
      <alignment horizontal="center" wrapText="1"/>
    </xf>
    <xf numFmtId="0" fontId="0" fillId="0" borderId="40" xfId="0" applyBorder="1" applyAlignment="1">
      <alignment horizontal="center" wrapText="1"/>
    </xf>
    <xf numFmtId="0" fontId="0" fillId="0" borderId="20" xfId="0" applyBorder="1" applyAlignment="1">
      <alignment horizontal="center" wrapText="1"/>
    </xf>
    <xf numFmtId="0" fontId="0" fillId="0" borderId="21" xfId="0" applyBorder="1" applyAlignment="1">
      <alignment horizontal="center" wrapText="1"/>
    </xf>
    <xf numFmtId="0" fontId="0" fillId="0" borderId="22" xfId="0" applyBorder="1" applyAlignment="1">
      <alignment horizontal="center" wrapText="1"/>
    </xf>
    <xf numFmtId="0" fontId="0" fillId="0" borderId="23" xfId="0" applyBorder="1" applyAlignment="1">
      <alignment horizontal="center" wrapText="1"/>
    </xf>
    <xf numFmtId="0" fontId="0" fillId="0" borderId="24" xfId="0" applyBorder="1" applyAlignment="1">
      <alignment horizontal="center" wrapText="1"/>
    </xf>
    <xf numFmtId="0" fontId="0" fillId="0" borderId="25" xfId="0" applyBorder="1" applyAlignment="1">
      <alignment horizontal="center" wrapText="1"/>
    </xf>
    <xf numFmtId="0" fontId="0" fillId="0" borderId="0" xfId="0" applyAlignment="1">
      <alignment horizontal="center" vertical="center"/>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2" fillId="2" borderId="14" xfId="0" applyFont="1" applyFill="1" applyBorder="1" applyAlignment="1">
      <alignment horizontal="center" vertical="center"/>
    </xf>
    <xf numFmtId="0" fontId="2" fillId="2" borderId="42" xfId="0" applyFont="1" applyFill="1" applyBorder="1" applyAlignment="1">
      <alignment horizontal="center" vertical="center"/>
    </xf>
    <xf numFmtId="0" fontId="2" fillId="2" borderId="33" xfId="0" applyFont="1" applyFill="1" applyBorder="1" applyAlignment="1">
      <alignment horizontal="center" vertical="center"/>
    </xf>
    <xf numFmtId="0" fontId="0" fillId="0" borderId="32" xfId="0" applyBorder="1" applyAlignment="1">
      <alignment horizontal="center" vertical="center"/>
    </xf>
    <xf numFmtId="0" fontId="2" fillId="0" borderId="43" xfId="0" applyFont="1" applyBorder="1" applyAlignment="1">
      <alignment horizontal="left" vertical="center" wrapText="1"/>
    </xf>
    <xf numFmtId="0" fontId="2" fillId="0" borderId="9" xfId="0" applyFont="1" applyBorder="1" applyAlignment="1">
      <alignment horizontal="left" vertical="center" wrapText="1"/>
    </xf>
    <xf numFmtId="0" fontId="3" fillId="4" borderId="11" xfId="0" applyFont="1" applyFill="1" applyBorder="1" applyAlignment="1">
      <alignment horizontal="center" vertical="center"/>
    </xf>
    <xf numFmtId="0" fontId="2" fillId="0" borderId="12" xfId="0" applyFont="1" applyBorder="1" applyAlignment="1">
      <alignment horizontal="left" vertical="center" wrapText="1"/>
    </xf>
    <xf numFmtId="0" fontId="0" fillId="0" borderId="0" xfId="0" applyAlignment="1">
      <alignment horizontal="center" vertical="center" wrapText="1"/>
    </xf>
    <xf numFmtId="0" fontId="0" fillId="0" borderId="21" xfId="0" applyBorder="1" applyAlignment="1">
      <alignment horizontal="center" vertical="center"/>
    </xf>
    <xf numFmtId="0" fontId="5" fillId="2" borderId="4" xfId="0" applyFont="1" applyFill="1" applyBorder="1"/>
    <xf numFmtId="0" fontId="0" fillId="0" borderId="0" xfId="0" applyBorder="1"/>
    <xf numFmtId="0" fontId="2" fillId="0" borderId="43" xfId="0" applyFont="1" applyBorder="1" applyAlignment="1">
      <alignment horizontal="center"/>
    </xf>
    <xf numFmtId="0" fontId="2" fillId="0" borderId="9" xfId="0" applyFont="1" applyBorder="1" applyAlignment="1">
      <alignment horizontal="center"/>
    </xf>
    <xf numFmtId="0" fontId="2" fillId="0" borderId="44" xfId="0" applyFont="1" applyBorder="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1">
    <dxf>
      <alignment horizontal="center"/>
      <border>
        <left/>
        <right style="thin">
          <color auto="1"/>
        </right>
        <top style="thin">
          <color auto="1"/>
        </top>
        <bottom style="thin">
          <color auto="1"/>
        </bottom>
      </border>
    </dxf>
    <dxf>
      <alignment horizontal="center"/>
      <border>
        <left style="thin">
          <color auto="1"/>
        </left>
        <right style="thin">
          <color auto="1"/>
        </right>
        <top style="thin">
          <color auto="1"/>
        </top>
        <bottom style="thin">
          <color auto="1"/>
        </bottom>
      </border>
    </dxf>
    <dxf>
      <alignment horizontal="center"/>
      <border>
        <left style="thin">
          <color auto="1"/>
        </left>
        <right/>
        <top style="thin">
          <color auto="1"/>
        </top>
        <bottom style="thin">
          <color auto="1"/>
        </bottom>
      </border>
    </dxf>
    <dxf>
      <fill>
        <patternFill patternType="solid">
          <bgColor rgb="FFFF5050"/>
        </patternFill>
      </fill>
    </dxf>
    <dxf>
      <alignment horizontal="center" vertical="center"/>
      <border>
        <left/>
        <right style="thin">
          <color auto="1"/>
        </right>
        <top style="thin">
          <color auto="1"/>
        </top>
        <bottom style="thin">
          <color auto="1"/>
        </bottom>
      </border>
    </dxf>
    <dxf>
      <alignment horizontal="center" vertical="center"/>
      <border>
        <left style="thin">
          <color auto="1"/>
        </left>
        <right/>
        <top style="thin">
          <color auto="1"/>
        </top>
        <bottom style="thin">
          <color auto="1"/>
        </bottom>
      </border>
    </dxf>
    <dxf>
      <font>
        <color auto="1"/>
      </font>
      <alignment horizontal="left" vertical="center" wrapText="1"/>
      <border>
        <left style="thin">
          <color auto="1"/>
        </left>
        <right style="thin">
          <color auto="1"/>
        </right>
        <top style="thin">
          <color auto="1"/>
        </top>
        <bottom style="thin">
          <color auto="1"/>
        </bottom>
      </border>
    </dxf>
    <dxf>
      <alignment horizontal="center"/>
      <border>
        <left/>
        <right style="thin">
          <color auto="1"/>
        </right>
        <top style="thin">
          <color auto="1"/>
        </top>
        <bottom style="thin">
          <color auto="1"/>
        </bottom>
      </border>
    </dxf>
    <dxf>
      <alignment horizontal="center"/>
      <border>
        <left style="thin">
          <color auto="1"/>
        </left>
        <right style="thin">
          <color auto="1"/>
        </right>
        <top style="thin">
          <color auto="1"/>
        </top>
        <bottom style="thin">
          <color auto="1"/>
        </bottom>
      </border>
    </dxf>
    <dxf>
      <alignment horizontal="center"/>
      <border>
        <left style="thin">
          <color auto="1"/>
        </left>
        <right/>
        <top style="thin">
          <color auto="1"/>
        </top>
        <bottom style="thin">
          <color auto="1"/>
        </bottom>
      </border>
    </dxf>
    <dxf>
      <alignment horizontal="center"/>
      <border>
        <left/>
        <right style="thin">
          <color auto="1"/>
        </right>
        <top style="thin">
          <color auto="1"/>
        </top>
        <bottom style="thin">
          <color auto="1"/>
        </bottom>
      </border>
    </dxf>
    <dxf>
      <alignment horizontal="center"/>
      <border>
        <left style="thin">
          <color auto="1"/>
        </left>
        <right style="thin">
          <color auto="1"/>
        </right>
        <top style="thin">
          <color auto="1"/>
        </top>
        <bottom style="thin">
          <color auto="1"/>
        </bottom>
      </border>
    </dxf>
    <dxf>
      <alignment horizontal="center"/>
      <border>
        <left style="thin">
          <color auto="1"/>
        </left>
        <right/>
        <top style="thin">
          <color auto="1"/>
        </top>
        <bottom style="thin">
          <color auto="1"/>
        </bottom>
      </border>
    </dxf>
    <dxf>
      <alignment horizontal="center"/>
      <border>
        <left/>
        <right style="thin">
          <color auto="1"/>
        </right>
        <top style="thin">
          <color auto="1"/>
        </top>
        <bottom style="thin">
          <color auto="1"/>
        </bottom>
      </border>
    </dxf>
    <dxf>
      <alignment horizontal="center"/>
      <border>
        <left style="thin">
          <color auto="1"/>
        </left>
        <right style="thin">
          <color auto="1"/>
        </right>
        <top style="thin">
          <color auto="1"/>
        </top>
        <bottom style="thin">
          <color auto="1"/>
        </bottom>
      </border>
    </dxf>
    <dxf>
      <alignment horizontal="center"/>
      <border>
        <left style="thin">
          <color auto="1"/>
        </left>
        <right/>
        <top style="thin">
          <color auto="1"/>
        </top>
        <bottom style="thin">
          <color auto="1"/>
        </bottom>
      </border>
    </dxf>
    <dxf>
      <alignment horizontal="center"/>
      <border>
        <left/>
        <right style="thin">
          <color auto="1"/>
        </right>
        <top style="thin">
          <color auto="1"/>
        </top>
        <bottom style="thin">
          <color auto="1"/>
        </bottom>
      </border>
    </dxf>
    <dxf>
      <alignment horizontal="center"/>
      <border>
        <left style="thin">
          <color auto="1"/>
        </left>
        <right style="thin">
          <color auto="1"/>
        </right>
        <top style="thin">
          <color auto="1"/>
        </top>
        <bottom style="thin">
          <color auto="1"/>
        </bottom>
      </border>
    </dxf>
    <dxf>
      <alignment horizontal="center"/>
      <border>
        <left style="thin">
          <color auto="1"/>
        </left>
        <right/>
        <top style="thin">
          <color auto="1"/>
        </top>
        <bottom style="thin">
          <color auto="1"/>
        </bottom>
      </border>
    </dxf>
    <dxf>
      <alignment horizontal="center"/>
    </dxf>
    <dxf>
      <numFmt numFmtId="10" formatCode="0.00%"/>
      <alignment horizontal="center"/>
    </dxf>
  </dxfs>
  <tableStyles count="0" defaultTableStyle="TableStyleMedium2" defaultPivotStyle="PivotStyleLight16"/>
  <colors>
    <mruColors>
      <color rgb="00D31D6B"/>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1" name="Table1" displayName="Table1" ref="A3:C7" totalsRowShown="0">
  <tableColumns count="3">
    <tableColumn id="1" name="Field Name" dataDxfId="0"/>
    <tableColumn id="2" name="Missing Count " dataDxfId="1"/>
    <tableColumn id="3" name="Action Done" dataDxfId="2"/>
  </tableColumns>
  <tableStyleInfo name="TableStyleLight13" showFirstColumn="0" showLastColumn="0" showRowStripes="1" showColumnStripes="0"/>
</table>
</file>

<file path=xl/tables/table2.xml><?xml version="1.0" encoding="utf-8"?>
<table xmlns="http://schemas.openxmlformats.org/spreadsheetml/2006/main" id="2" name="Table2" displayName="Table2" ref="A3:C7" totalsRowShown="0">
  <tableColumns count="3">
    <tableColumn id="1" name="Metric" dataDxfId="4"/>
    <tableColumn id="2" name="Count" dataDxfId="5"/>
    <tableColumn id="3" name="Duplicate Handling Logic" dataDxfId="6"/>
  </tableColumns>
  <tableStyleInfo name="TableStyleLight13" showFirstColumn="0" showLastColumn="0" showRowStripes="1" showColumnStripes="0"/>
</table>
</file>

<file path=xl/tables/table3.xml><?xml version="1.0" encoding="utf-8"?>
<table xmlns="http://schemas.openxmlformats.org/spreadsheetml/2006/main" id="3" name="Table3" displayName="Table3" ref="A3:C6" totalsRowShown="0">
  <tableColumns count="3">
    <tableColumn id="1" name="Discount Status" dataDxfId="7"/>
    <tableColumn id="2" name="Count" dataDxfId="8"/>
    <tableColumn id="3" name="Action Taken" dataDxfId="9"/>
  </tableColumns>
  <tableStyleInfo name="TableStyleLight13" showFirstColumn="0" showLastColumn="0" showRowStripes="1" showColumnStripes="0"/>
</table>
</file>

<file path=xl/tables/table4.xml><?xml version="1.0" encoding="utf-8"?>
<table xmlns="http://schemas.openxmlformats.org/spreadsheetml/2006/main" id="4" name="Table5" displayName="Table5" ref="A3:C9" totalsRowShown="0">
  <tableColumns count="3">
    <tableColumn id="1" name="Status Type" dataDxfId="10"/>
    <tableColumn id="2" name="Count" dataDxfId="11"/>
    <tableColumn id="3" name="Business Action" dataDxfId="12"/>
  </tableColumns>
  <tableStyleInfo name="TableStyleLight13" showFirstColumn="0" showLastColumn="0" showRowStripes="1" showColumnStripes="0"/>
</table>
</file>

<file path=xl/tables/table5.xml><?xml version="1.0" encoding="utf-8"?>
<table xmlns="http://schemas.openxmlformats.org/spreadsheetml/2006/main" id="5" name="Table6" displayName="Table6" ref="A4:C10" totalsRowShown="0">
  <tableColumns count="3">
    <tableColumn id="1" name="Metric" dataDxfId="13"/>
    <tableColumn id="2" name="Count" dataDxfId="14"/>
    <tableColumn id="3" name="Action Taken" dataDxfId="15"/>
  </tableColumns>
  <tableStyleInfo name="TableStyleLight13" showFirstColumn="0" showLastColumn="0" showRowStripes="1" showColumnStripes="0"/>
</table>
</file>

<file path=xl/tables/table6.xml><?xml version="1.0" encoding="utf-8"?>
<table xmlns="http://schemas.openxmlformats.org/spreadsheetml/2006/main" id="6" name="Table7" displayName="Table7" ref="A3:C7" totalsRowShown="0">
  <tableColumns count="3">
    <tableColumn id="1" name="Record Category" dataDxfId="16"/>
    <tableColumn id="2" name="Count" dataDxfId="17"/>
    <tableColumn id="3" name="Interpretation" dataDxfId="18"/>
  </tableColumns>
  <tableStyleInfo name="TableStyleLight13" showFirstColumn="0" showLastColumn="0" showRowStripes="1" showColumnStripes="0"/>
</table>
</file>

<file path=xl/tables/table7.xml><?xml version="1.0" encoding="utf-8"?>
<table xmlns="http://schemas.openxmlformats.org/spreadsheetml/2006/main" id="7" name="Table9" displayName="Table9" ref="A11:B14" totalsRowShown="0">
  <tableColumns count="2">
    <tableColumn id="1" name="Record Category" dataDxfId="19"/>
    <tableColumn id="2" name="Percentage" dataDxfId="2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C15" sqref="C15"/>
    </sheetView>
  </sheetViews>
  <sheetFormatPr defaultColWidth="9" defaultRowHeight="14.4" outlineLevelRow="6" outlineLevelCol="2"/>
  <cols>
    <col min="1" max="1" width="25.6296296296296" customWidth="1"/>
    <col min="2" max="2" width="28.5462962962963" customWidth="1"/>
    <col min="3" max="3" width="38.8148148148148" customWidth="1"/>
  </cols>
  <sheetData>
    <row r="1" ht="18.15" spans="1:3">
      <c r="B1" s="106" t="s">
        <v>0</v>
      </c>
    </row>
    <row r="2" ht="15.15" spans="1:3">
      <c r="A2" s="107"/>
    </row>
    <row r="3" ht="15.15" spans="1:3">
      <c r="A3" s="42" t="s">
        <v>1</v>
      </c>
      <c r="B3" s="5" t="s">
        <v>2</v>
      </c>
      <c r="C3" s="6" t="s">
        <v>3</v>
      </c>
    </row>
    <row r="4" spans="1:3">
      <c r="A4" s="43" t="s">
        <v>4</v>
      </c>
      <c r="B4" s="108">
        <v>26</v>
      </c>
      <c r="C4" s="45" t="s">
        <v>5</v>
      </c>
    </row>
    <row r="5" spans="1:3">
      <c r="A5" s="10" t="s">
        <v>6</v>
      </c>
      <c r="B5" s="109">
        <v>22</v>
      </c>
      <c r="C5" s="13" t="s">
        <v>5</v>
      </c>
    </row>
    <row r="6" spans="1:3">
      <c r="A6" s="48" t="s">
        <v>7</v>
      </c>
      <c r="B6" s="110">
        <v>18</v>
      </c>
      <c r="C6" s="49" t="s">
        <v>8</v>
      </c>
    </row>
    <row r="7" ht="15.15" spans="1:3">
      <c r="A7" s="50" t="s">
        <v>9</v>
      </c>
      <c r="B7" s="51">
        <f>SUM(B4:B6)</f>
        <v>66</v>
      </c>
      <c r="C7" s="52" t="s">
        <v>10</v>
      </c>
    </row>
  </sheetData>
  <conditionalFormatting sqref="B3">
    <cfRule type="colorScale" priority="1">
      <colorScale>
        <cfvo type="min"/>
        <cfvo type="max"/>
        <color rgb="FFFCFCFF"/>
        <color rgb="FFF8696B"/>
      </colorScale>
    </cfRule>
    <cfRule type="colorScale" priority="2">
      <colorScale>
        <cfvo type="min"/>
        <cfvo type="max"/>
        <color rgb="FFF8696B"/>
        <color rgb="FFFCFCFF"/>
      </colorScale>
    </cfRule>
    <cfRule type="expression" dxfId="3" priority="4">
      <formula>"&gt;20"</formula>
    </cfRule>
    <cfRule type="colorScale" priority="5">
      <colorScale>
        <cfvo type="min"/>
        <cfvo type="percentile" val="50"/>
        <cfvo type="max"/>
        <color rgb="FF63BE7B"/>
        <color rgb="FFFFEB84"/>
        <color rgb="FFF8696B"/>
      </colorScale>
    </cfRule>
  </conditionalFormatting>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8"/>
  <sheetViews>
    <sheetView workbookViewId="0">
      <selection activeCell="A11" sqref="A11"/>
    </sheetView>
  </sheetViews>
  <sheetFormatPr defaultColWidth="9" defaultRowHeight="14.4" outlineLevelCol="2"/>
  <cols>
    <col min="1" max="1" width="24.1759259259259" style="92" customWidth="1"/>
    <col min="2" max="2" width="8.72222222222222" style="92"/>
    <col min="3" max="3" width="51.7222222222222" style="92" customWidth="1"/>
    <col min="4" max="16384" width="8.72222222222222" style="92"/>
  </cols>
  <sheetData>
    <row r="1" ht="18.15" spans="1:3">
      <c r="A1" s="93" t="s">
        <v>11</v>
      </c>
      <c r="B1" s="94"/>
      <c r="C1" s="95"/>
    </row>
    <row r="3" ht="15.15" spans="1:3">
      <c r="A3" s="96" t="s">
        <v>12</v>
      </c>
      <c r="B3" s="97" t="s">
        <v>13</v>
      </c>
      <c r="C3" s="98" t="s">
        <v>14</v>
      </c>
    </row>
    <row r="4" ht="28.8" spans="1:3">
      <c r="A4" s="99" t="s">
        <v>15</v>
      </c>
      <c r="B4" s="99">
        <v>20</v>
      </c>
      <c r="C4" s="100" t="s">
        <v>16</v>
      </c>
    </row>
    <row r="5" ht="43.2" spans="1:3">
      <c r="A5" s="75" t="s">
        <v>17</v>
      </c>
      <c r="B5" s="75">
        <v>63</v>
      </c>
      <c r="C5" s="101" t="s">
        <v>18</v>
      </c>
    </row>
    <row r="6" ht="26.5" customHeight="1" spans="1:3">
      <c r="A6" s="75" t="s">
        <v>19</v>
      </c>
      <c r="B6" s="75">
        <v>0</v>
      </c>
      <c r="C6" s="101" t="s">
        <v>20</v>
      </c>
    </row>
    <row r="7" ht="43.95" spans="1:3">
      <c r="A7" s="102" t="s">
        <v>21</v>
      </c>
      <c r="B7" s="102">
        <v>12</v>
      </c>
      <c r="C7" s="103" t="s">
        <v>22</v>
      </c>
    </row>
    <row r="8" spans="1:3">
      <c r="C8" s="104"/>
    </row>
    <row r="25" spans="3:3">
      <c r="C25" s="105" t="s">
        <v>23</v>
      </c>
    </row>
    <row r="26" spans="3:3">
      <c r="C26" s="105" t="s">
        <v>24</v>
      </c>
    </row>
    <row r="27" spans="3:3">
      <c r="C27" s="105" t="s">
        <v>25</v>
      </c>
    </row>
    <row r="28" spans="3:3">
      <c r="C28" s="105" t="s">
        <v>26</v>
      </c>
    </row>
  </sheetData>
  <mergeCells count="1">
    <mergeCell ref="A1:C1"/>
  </mergeCell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3"/>
  <sheetViews>
    <sheetView workbookViewId="0">
      <selection activeCell="E8" sqref="E8"/>
    </sheetView>
  </sheetViews>
  <sheetFormatPr defaultColWidth="9" defaultRowHeight="14.4" outlineLevelCol="2"/>
  <cols>
    <col min="1" max="1" width="33.8148148148148" style="79" customWidth="1"/>
    <col min="2" max="2" width="8.72222222222222" style="79"/>
    <col min="3" max="3" width="27.4537037037037" style="79" customWidth="1"/>
    <col min="4" max="16382" width="8.72222222222222" style="79"/>
    <col min="16383" max="16384" width="9" style="79"/>
  </cols>
  <sheetData>
    <row r="1" ht="15.15" spans="1:3">
      <c r="A1" s="1" t="s">
        <v>27</v>
      </c>
      <c r="B1" s="2"/>
      <c r="C1" s="3"/>
    </row>
    <row r="2" ht="15.15"/>
    <row r="3" ht="15.15" spans="1:3">
      <c r="A3" s="42" t="s">
        <v>28</v>
      </c>
      <c r="B3" s="5" t="s">
        <v>13</v>
      </c>
      <c r="C3" s="6" t="s">
        <v>29</v>
      </c>
    </row>
    <row r="4" spans="1:3">
      <c r="A4" s="7" t="s">
        <v>30</v>
      </c>
      <c r="B4" s="8">
        <v>16</v>
      </c>
      <c r="C4" s="9" t="s">
        <v>31</v>
      </c>
    </row>
    <row r="5" spans="1:3">
      <c r="A5" s="10" t="s">
        <v>32</v>
      </c>
      <c r="B5" s="11">
        <v>0</v>
      </c>
      <c r="C5" s="13" t="s">
        <v>33</v>
      </c>
    </row>
    <row r="6" ht="15.15" spans="1:3">
      <c r="A6" s="80" t="s">
        <v>34</v>
      </c>
      <c r="B6" s="81">
        <v>16</v>
      </c>
      <c r="C6" s="82" t="s">
        <v>35</v>
      </c>
    </row>
    <row r="9" ht="15.15"/>
    <row r="10" ht="15.15" spans="1:3">
      <c r="A10" s="24" t="s">
        <v>36</v>
      </c>
      <c r="B10" s="53"/>
      <c r="C10" s="54"/>
    </row>
    <row r="11" customHeight="1" spans="1:3">
      <c r="A11" s="83" t="s">
        <v>37</v>
      </c>
      <c r="B11" s="84"/>
      <c r="C11" s="85"/>
    </row>
    <row r="12" spans="1:3">
      <c r="A12" s="86"/>
      <c r="B12" s="87"/>
      <c r="C12" s="88"/>
    </row>
    <row r="13" ht="15.15" spans="1:3">
      <c r="A13" s="89"/>
      <c r="B13" s="90"/>
      <c r="C13" s="91"/>
    </row>
  </sheetData>
  <mergeCells count="3">
    <mergeCell ref="A1:C1"/>
    <mergeCell ref="A10:C10"/>
    <mergeCell ref="A11:C13"/>
  </mergeCells>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C8"/>
  <sheetViews>
    <sheetView tabSelected="1" workbookViewId="0">
      <selection activeCell="C11" sqref="C11"/>
    </sheetView>
  </sheetViews>
  <sheetFormatPr defaultColWidth="9" defaultRowHeight="14.4" outlineLevelRow="7" outlineLevelCol="2"/>
  <cols>
    <col min="2" max="2" width="20.7222222222222" customWidth="1"/>
    <col min="3" max="3" width="12.0925925925926" customWidth="1"/>
  </cols>
  <sheetData>
    <row r="1" ht="15.15"/>
    <row r="2" spans="2:3">
      <c r="B2" s="24" t="s">
        <v>38</v>
      </c>
      <c r="C2" s="54"/>
    </row>
    <row r="3" s="71" customFormat="1" ht="15.15" spans="2:3">
      <c r="B3" s="72" t="s">
        <v>12</v>
      </c>
      <c r="C3" s="73" t="s">
        <v>13</v>
      </c>
    </row>
    <row r="4" s="71" customFormat="1" spans="2:3">
      <c r="B4" s="67" t="s">
        <v>39</v>
      </c>
      <c r="C4" s="74">
        <v>0</v>
      </c>
    </row>
    <row r="5" s="71" customFormat="1" spans="2:3">
      <c r="B5" s="75" t="s">
        <v>40</v>
      </c>
      <c r="C5" s="76">
        <v>0</v>
      </c>
    </row>
    <row r="6" s="71" customFormat="1" spans="2:3">
      <c r="B6" s="75" t="s">
        <v>41</v>
      </c>
      <c r="C6" s="76">
        <v>479</v>
      </c>
    </row>
    <row r="7" s="71" customFormat="1" spans="2:3">
      <c r="B7" s="75" t="s">
        <v>42</v>
      </c>
      <c r="C7" s="76">
        <v>469</v>
      </c>
    </row>
    <row r="8" s="71" customFormat="1" ht="15.15" spans="2:3">
      <c r="B8" s="77" t="s">
        <v>43</v>
      </c>
      <c r="C8" s="78">
        <v>94</v>
      </c>
    </row>
  </sheetData>
  <mergeCells count="1">
    <mergeCell ref="B2:C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5"/>
  <sheetViews>
    <sheetView workbookViewId="0">
      <selection activeCell="A11" sqref="A11:C11"/>
    </sheetView>
  </sheetViews>
  <sheetFormatPr defaultColWidth="9" defaultRowHeight="14.4" outlineLevelCol="2"/>
  <cols>
    <col min="1" max="1" width="17.3611111111111" customWidth="1"/>
    <col min="3" max="3" width="34.8148148148148" customWidth="1"/>
  </cols>
  <sheetData>
    <row r="1" ht="15.15" spans="1:3">
      <c r="A1" s="1" t="s">
        <v>44</v>
      </c>
      <c r="B1" s="2"/>
      <c r="C1" s="3"/>
    </row>
    <row r="2" ht="15.15" spans="1:3">
      <c r="A2" s="64"/>
      <c r="B2" s="65"/>
      <c r="C2" s="66"/>
    </row>
    <row r="3" ht="15.15" spans="1:3">
      <c r="A3" s="4" t="s">
        <v>45</v>
      </c>
      <c r="B3" s="5" t="s">
        <v>13</v>
      </c>
      <c r="C3" s="6" t="s">
        <v>46</v>
      </c>
    </row>
    <row r="4" spans="1:3">
      <c r="A4" s="67" t="s">
        <v>47</v>
      </c>
      <c r="B4" s="8">
        <v>622</v>
      </c>
      <c r="C4" s="9" t="s">
        <v>48</v>
      </c>
    </row>
    <row r="5" spans="1:3">
      <c r="A5" s="10" t="s">
        <v>49</v>
      </c>
      <c r="B5" s="11">
        <v>146</v>
      </c>
      <c r="C5" s="13" t="s">
        <v>50</v>
      </c>
    </row>
    <row r="6" spans="1:3">
      <c r="A6" s="10" t="s">
        <v>51</v>
      </c>
      <c r="B6" s="11">
        <v>164</v>
      </c>
      <c r="C6" s="13" t="s">
        <v>52</v>
      </c>
    </row>
    <row r="7" spans="1:3">
      <c r="A7" s="10" t="s">
        <v>53</v>
      </c>
      <c r="B7" s="11">
        <v>69</v>
      </c>
      <c r="C7" s="13" t="s">
        <v>50</v>
      </c>
    </row>
    <row r="8" spans="1:3">
      <c r="A8" s="10" t="s">
        <v>54</v>
      </c>
      <c r="B8" s="11">
        <v>87</v>
      </c>
      <c r="C8" s="13" t="s">
        <v>50</v>
      </c>
    </row>
    <row r="9" ht="15.15" spans="1:3">
      <c r="A9" s="14" t="s">
        <v>55</v>
      </c>
      <c r="B9" s="15">
        <v>72</v>
      </c>
      <c r="C9" s="16" t="s">
        <v>56</v>
      </c>
    </row>
    <row r="10" ht="15.15" spans="1:3">
      <c r="A10" s="68"/>
      <c r="B10" s="69"/>
      <c r="C10" s="70"/>
    </row>
    <row r="11" ht="15.15" spans="1:3">
      <c r="A11" s="24" t="s">
        <v>36</v>
      </c>
      <c r="B11" s="25"/>
      <c r="C11" s="26"/>
    </row>
    <row r="12" spans="1:3">
      <c r="A12" s="55" t="s">
        <v>57</v>
      </c>
      <c r="B12" s="56"/>
      <c r="C12" s="57"/>
    </row>
    <row r="13" spans="1:3">
      <c r="A13" s="58"/>
      <c r="B13" s="59"/>
      <c r="C13" s="60"/>
    </row>
    <row r="14" spans="1:3">
      <c r="A14" s="58"/>
      <c r="B14" s="59"/>
      <c r="C14" s="60"/>
    </row>
    <row r="15" ht="15.15" spans="1:3">
      <c r="A15" s="61"/>
      <c r="B15" s="62"/>
      <c r="C15" s="63"/>
    </row>
  </sheetData>
  <mergeCells count="3">
    <mergeCell ref="A1:C1"/>
    <mergeCell ref="A11:C11"/>
    <mergeCell ref="A12:C15"/>
  </mergeCells>
  <pageMargins left="0.7" right="0.7" top="0.75" bottom="0.75" header="0.3" footer="0.3"/>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9"/>
  <sheetViews>
    <sheetView workbookViewId="0">
      <selection activeCell="E12" sqref="E12"/>
    </sheetView>
  </sheetViews>
  <sheetFormatPr defaultColWidth="9" defaultRowHeight="14.4" outlineLevelCol="4"/>
  <cols>
    <col min="1" max="1" width="31.0925925925926" customWidth="1"/>
    <col min="3" max="3" width="25.3333333333333" customWidth="1"/>
  </cols>
  <sheetData>
    <row r="1" customHeight="1" spans="1:5">
      <c r="A1" s="36" t="s">
        <v>58</v>
      </c>
      <c r="B1" s="37"/>
      <c r="C1" s="37"/>
      <c r="D1" s="38"/>
    </row>
    <row r="2" ht="15.15" spans="1:5">
      <c r="A2" s="39"/>
      <c r="B2" s="40"/>
      <c r="C2" s="40"/>
      <c r="D2" s="41"/>
    </row>
    <row r="3" ht="15.15"/>
    <row r="4" ht="15.15" spans="1:5">
      <c r="A4" s="42" t="s">
        <v>12</v>
      </c>
      <c r="B4" s="5" t="s">
        <v>13</v>
      </c>
      <c r="C4" s="6" t="s">
        <v>29</v>
      </c>
    </row>
    <row r="5" spans="1:5">
      <c r="A5" s="43" t="s">
        <v>59</v>
      </c>
      <c r="B5" s="44">
        <v>35</v>
      </c>
      <c r="C5" s="45" t="s">
        <v>60</v>
      </c>
      <c r="E5" s="46">
        <v>79</v>
      </c>
    </row>
    <row r="6" spans="1:5">
      <c r="A6" s="10" t="s">
        <v>61</v>
      </c>
      <c r="B6" s="47">
        <v>39</v>
      </c>
      <c r="C6" s="13" t="s">
        <v>60</v>
      </c>
      <c r="E6" s="46">
        <v>81</v>
      </c>
    </row>
    <row r="7" spans="1:5">
      <c r="A7" s="10" t="s">
        <v>62</v>
      </c>
      <c r="B7" s="47">
        <v>195</v>
      </c>
      <c r="C7" s="13" t="s">
        <v>63</v>
      </c>
      <c r="E7" s="46">
        <v>16</v>
      </c>
    </row>
    <row r="8" spans="1:5">
      <c r="A8" s="10" t="s">
        <v>64</v>
      </c>
      <c r="B8" s="47">
        <v>195</v>
      </c>
      <c r="C8" s="13" t="s">
        <v>63</v>
      </c>
      <c r="E8" s="46">
        <v>16</v>
      </c>
    </row>
    <row r="9" ht="15.15" spans="1:5">
      <c r="A9" s="48"/>
      <c r="B9" s="47"/>
      <c r="C9" s="49"/>
      <c r="E9" s="46"/>
    </row>
    <row r="10" ht="15.15" spans="1:5">
      <c r="A10" s="50" t="s">
        <v>65</v>
      </c>
      <c r="B10" s="51">
        <v>53</v>
      </c>
      <c r="C10" s="52" t="s">
        <v>66</v>
      </c>
      <c r="E10" s="46">
        <v>192</v>
      </c>
    </row>
    <row r="12" ht="15.15"/>
    <row r="13" ht="15.15" spans="1:5">
      <c r="A13" s="24" t="s">
        <v>36</v>
      </c>
      <c r="B13" s="53"/>
      <c r="C13" s="54"/>
    </row>
    <row r="14" customHeight="1" spans="1:5">
      <c r="A14" s="55" t="s">
        <v>67</v>
      </c>
      <c r="B14" s="56"/>
      <c r="C14" s="57"/>
    </row>
    <row r="15" spans="1:5">
      <c r="A15" s="58"/>
      <c r="B15" s="59"/>
      <c r="C15" s="60"/>
    </row>
    <row r="16" spans="1:5">
      <c r="A16" s="58"/>
      <c r="B16" s="59"/>
      <c r="C16" s="60"/>
    </row>
    <row r="17" spans="1:3">
      <c r="A17" s="58"/>
      <c r="B17" s="59"/>
      <c r="C17" s="60"/>
    </row>
    <row r="18" spans="1:3">
      <c r="A18" s="58"/>
      <c r="B18" s="59"/>
      <c r="C18" s="60"/>
    </row>
    <row r="19" ht="15.15" spans="1:3">
      <c r="A19" s="61"/>
      <c r="B19" s="62"/>
      <c r="C19" s="63"/>
    </row>
  </sheetData>
  <mergeCells count="3">
    <mergeCell ref="A13:C13"/>
    <mergeCell ref="A1:D2"/>
    <mergeCell ref="A14:C19"/>
  </mergeCells>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3"/>
  <sheetViews>
    <sheetView workbookViewId="0">
      <selection activeCell="G24" sqref="G24"/>
    </sheetView>
  </sheetViews>
  <sheetFormatPr defaultColWidth="9" defaultRowHeight="14.4" outlineLevelCol="2"/>
  <cols>
    <col min="1" max="1" width="16.4537037037037" customWidth="1"/>
    <col min="2" max="2" width="12" customWidth="1"/>
    <col min="3" max="3" width="28.2685185185185" customWidth="1"/>
  </cols>
  <sheetData>
    <row r="1" ht="15.15" spans="1:3">
      <c r="A1" s="1" t="s">
        <v>68</v>
      </c>
      <c r="B1" s="2"/>
      <c r="C1" s="3"/>
    </row>
    <row r="2" ht="15.15"/>
    <row r="3" ht="15.15" spans="1:3">
      <c r="A3" s="4" t="s">
        <v>69</v>
      </c>
      <c r="B3" s="5" t="s">
        <v>13</v>
      </c>
      <c r="C3" s="6" t="s">
        <v>70</v>
      </c>
    </row>
    <row r="4" spans="1:3">
      <c r="A4" s="7" t="s">
        <v>71</v>
      </c>
      <c r="B4" s="8">
        <v>563</v>
      </c>
      <c r="C4" s="9" t="s">
        <v>72</v>
      </c>
    </row>
    <row r="5" spans="1:3">
      <c r="A5" s="10" t="s">
        <v>73</v>
      </c>
      <c r="B5" s="11">
        <v>143</v>
      </c>
      <c r="C5" s="12" t="s">
        <v>74</v>
      </c>
    </row>
    <row r="6" spans="1:3">
      <c r="A6" s="10" t="s">
        <v>75</v>
      </c>
      <c r="B6" s="11">
        <v>226</v>
      </c>
      <c r="C6" s="13" t="s">
        <v>76</v>
      </c>
    </row>
    <row r="7" ht="15.15" spans="1:3">
      <c r="A7" s="14" t="s">
        <v>77</v>
      </c>
      <c r="B7" s="15">
        <v>932</v>
      </c>
      <c r="C7" s="16" t="s">
        <v>78</v>
      </c>
    </row>
    <row r="9" ht="15.15"/>
    <row r="10" ht="15.15" spans="1:3">
      <c r="A10" s="17" t="s">
        <v>79</v>
      </c>
      <c r="B10" s="18"/>
    </row>
    <row r="11" ht="15.15" spans="1:3">
      <c r="A11" s="19" t="s">
        <v>80</v>
      </c>
      <c r="B11" s="20" t="s">
        <v>81</v>
      </c>
    </row>
    <row r="12" spans="1:3">
      <c r="A12" s="7" t="s">
        <v>71</v>
      </c>
      <c r="B12" s="21">
        <f>B4/B7</f>
        <v>0.604077253218884</v>
      </c>
    </row>
    <row r="13" spans="1:3">
      <c r="A13" s="10" t="s">
        <v>73</v>
      </c>
      <c r="B13" s="22">
        <f>B5/B7</f>
        <v>0.15343347639485</v>
      </c>
    </row>
    <row r="14" ht="15.15" spans="1:3">
      <c r="A14" s="14" t="s">
        <v>82</v>
      </c>
      <c r="B14" s="23">
        <f>B6/B7</f>
        <v>0.242489270386266</v>
      </c>
    </row>
    <row r="16" ht="15.15"/>
    <row r="17" ht="15.15" spans="1:3">
      <c r="A17" s="24" t="s">
        <v>36</v>
      </c>
      <c r="B17" s="25"/>
      <c r="C17" s="26"/>
    </row>
    <row r="18" customHeight="1" spans="1:3">
      <c r="A18" s="27" t="s">
        <v>83</v>
      </c>
      <c r="B18" s="28"/>
      <c r="C18" s="29"/>
    </row>
    <row r="19" spans="1:3">
      <c r="A19" s="30"/>
      <c r="B19" s="31"/>
      <c r="C19" s="32"/>
    </row>
    <row r="20" spans="1:3">
      <c r="A20" s="30"/>
      <c r="B20" s="31"/>
      <c r="C20" s="32"/>
    </row>
    <row r="21" spans="1:3">
      <c r="A21" s="30"/>
      <c r="B21" s="31"/>
      <c r="C21" s="32"/>
    </row>
    <row r="22" spans="1:3">
      <c r="A22" s="30"/>
      <c r="B22" s="31"/>
      <c r="C22" s="32"/>
    </row>
    <row r="23" ht="15.15" spans="1:3">
      <c r="A23" s="33"/>
      <c r="B23" s="34"/>
      <c r="C23" s="35"/>
    </row>
  </sheetData>
  <mergeCells count="4">
    <mergeCell ref="A1:C1"/>
    <mergeCell ref="A10:B10"/>
    <mergeCell ref="A17:C17"/>
    <mergeCell ref="A18:C23"/>
  </mergeCells>
  <pageMargins left="0.7" right="0.7" top="0.75" bottom="0.75" header="0.3" footer="0.3"/>
  <headerFooter/>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Missing_Value</vt:lpstr>
      <vt:lpstr>Duplicate_Summary</vt:lpstr>
      <vt:lpstr>Invalid_Discount_Summary</vt:lpstr>
      <vt:lpstr>Date Issue Summary</vt:lpstr>
      <vt:lpstr>Order_Status_Issue_Summary</vt:lpstr>
      <vt:lpstr>Sales_Profit_Mismatch_Summary</vt:lpstr>
      <vt:lpstr>Final_Clean_vs_Flagged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Diksha Abrhol</dc:creator>
  <cp:lastModifiedBy>Nipun Banga</cp:lastModifiedBy>
  <dcterms:created xsi:type="dcterms:W3CDTF">2026-06-22T15:51:00Z</dcterms:created>
  <dcterms:modified xsi:type="dcterms:W3CDTF">2026-06-28T17:17:09Z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59D658B6883C41C3BD7BEF95E23D5925_12</vt:lpwstr>
  </property>
  <property fmtid="{D5CDD505-2E9C-101B-9397-08002B2CF9AE}" pid="3" name="KSOProductBuildVer">
    <vt:lpwstr>1033-12.1.0.26880</vt:lpwstr>
  </property>
  <property fmtid="{D5CDD505-2E9C-101B-9397-08002B2CF9AE}" pid="4" name="CalculationRule">
    <vt:i4>0</vt:i4>
  </property>
</Properties>
</file>